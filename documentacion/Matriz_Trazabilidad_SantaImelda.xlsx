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8f30b73af73f0f6/Documentos/MATERIAS 4 SEMESTRE/MODELADO DE REQUERIMIENTOS/"/>
    </mc:Choice>
  </mc:AlternateContent>
  <xr:revisionPtr revIDLastSave="1" documentId="11_F2C8CDCAAF055DBCD7A3CE8FF07D1DEAA65AA1EF" xr6:coauthVersionLast="47" xr6:coauthVersionMax="47" xr10:uidLastSave="{D25348A6-D146-4FA3-B56B-730A3B22FD4B}"/>
  <bookViews>
    <workbookView xWindow="-110" yWindow="-110" windowWidth="22620" windowHeight="13500" tabRatio="500" xr2:uid="{00000000-000D-0000-FFFF-FFFF00000000}"/>
  </bookViews>
  <sheets>
    <sheet name="Pantallas" sheetId="1" r:id="rId1"/>
    <sheet name="Matriz de Trazabilidad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3" l="1"/>
  <c r="C7" i="3" s="1"/>
  <c r="B6" i="3"/>
  <c r="C6" i="3" s="1"/>
  <c r="B5" i="3"/>
  <c r="C5" i="3" s="1"/>
  <c r="B4" i="3"/>
  <c r="B8" i="3" s="1"/>
  <c r="C4" i="3" l="1"/>
  <c r="C8" i="3" s="1"/>
</calcChain>
</file>

<file path=xl/sharedStrings.xml><?xml version="1.0" encoding="utf-8"?>
<sst xmlns="http://schemas.openxmlformats.org/spreadsheetml/2006/main" count="166" uniqueCount="93">
  <si>
    <t>ID Pantalla</t>
  </si>
  <si>
    <t>Archivo JSP</t>
  </si>
  <si>
    <t>Nombre descriptivo</t>
  </si>
  <si>
    <t>PNT-01</t>
  </si>
  <si>
    <t>login.jsp</t>
  </si>
  <si>
    <t>Login / Inicio de sesión</t>
  </si>
  <si>
    <t>PNT-02</t>
  </si>
  <si>
    <t>dashboard_empleado.jsp</t>
  </si>
  <si>
    <t>Panel del Empleado (solicitud + historial)</t>
  </si>
  <si>
    <t>PNT-03</t>
  </si>
  <si>
    <t>dashboard_jefa.jsp</t>
  </si>
  <si>
    <t>Panel Administrativo de la Dra. (dashboard, solicitudes y modal de resolución)</t>
  </si>
  <si>
    <t>PNT-04</t>
  </si>
  <si>
    <t>lista_empleados.jsp</t>
  </si>
  <si>
    <t>Administración de Empleados</t>
  </si>
  <si>
    <t>PNT-05</t>
  </si>
  <si>
    <t>error.jsp</t>
  </si>
  <si>
    <t>Pantalla de Error del sistema</t>
  </si>
  <si>
    <t>ID Requerimiento</t>
  </si>
  <si>
    <t>Descripción (resumen)</t>
  </si>
  <si>
    <t>Tipo</t>
  </si>
  <si>
    <t>Sección / Componente</t>
  </si>
  <si>
    <t>Estado de Cobertura</t>
  </si>
  <si>
    <t>Validado con cliente</t>
  </si>
  <si>
    <t>Observaciones</t>
  </si>
  <si>
    <t>RF-01</t>
  </si>
  <si>
    <t>Registrar colaboradores con datos personales y laborales.</t>
  </si>
  <si>
    <t>RF</t>
  </si>
  <si>
    <t>Tarjeta 'Registrar nuevo empleado' — formulario con campos Nombre, Apellido, Puesto (select), Fecha de ingreso, y botón 'Guardar Empleado'.</t>
  </si>
  <si>
    <t>Cubierto</t>
  </si>
  <si>
    <t>Pendiente</t>
  </si>
  <si>
    <t>RF-02</t>
  </si>
  <si>
    <t>Gestionar roles de usuario (administrador, colaborador).</t>
  </si>
  <si>
    <t>El formulario de login no expone selector de rol visible; el rol se resuelve en backend (Usuario.getRol() / sesión) tras autenticar.</t>
  </si>
  <si>
    <t>Parcialmente cubierto</t>
  </si>
  <si>
    <t>El prototipo no muestra una pantalla de administración de roles. Falta: pantalla o sección donde la Dra. asigne/edite el rol de un usuario. Actualmente el rol solo se valida (jefa vs empleado) para redirigir, no se gestiona desde la UI.</t>
  </si>
  <si>
    <t>RF-03</t>
  </si>
  <si>
    <t>Colaboradores solicitan permisos ingresando fechas y motivo.</t>
  </si>
  <si>
    <t>Tarjeta 'Nueva solicitud de vacaciones' — formulario con campos Fecha inicio, Fecha fin, Días laborables solicitados, Motivo/Comentarios, Justificante, botón 'Enviar solicitud a la Dra. Hilda'.</t>
  </si>
  <si>
    <t>Al enviarse, la solicitud queda con estado 'pendiente' (ver tabla 'Mis solicitudes' / columna Estado, badge-pendiente).</t>
  </si>
  <si>
    <t>RF-04</t>
  </si>
  <si>
    <t>Registrar y gestionar las vacaciones del personal.</t>
  </si>
  <si>
    <t>Tabla 'Empleados y días de vacaciones' (vista Dashboard) — columnas Días LFT, Tomados, Disponibles por cada empleado.</t>
  </si>
  <si>
    <t>RF-05</t>
  </si>
  <si>
    <t>Aprobar o rechazar solicitudes de permisos y vacaciones.</t>
  </si>
  <si>
    <t>Modal 'Resolver solicitud de vacaciones' — select 'Decisión' (Aprobar/Rechazar solicitud), textarea 'Comentario para el empleado', botón 'Confirmar resolución'. Se abre desde el botón 'Resolver' en las tablas de solicitudes.</t>
  </si>
  <si>
    <t>RF-06</t>
  </si>
  <si>
    <t>Validar automáticamente los datos ingresados para evitar errores.</t>
  </si>
  <si>
    <t>Formulario 'Nueva solicitud de vacaciones' — atributos HTML required en Fecha inicio, Fecha fin y Días solicitados; el campo Días solicitados tiene min=1 y max=días disponibles del empleado.</t>
  </si>
  <si>
    <t>Solo se valida en el cliente (HTML5 required/min/max). No hay evidencia en el JSP de validación de fechas inválidas (ej. fecha fin anterior a fecha inicio) ni de validación del lado servidor visible en el prototipo. Falta confirmar lógica de validación en EmpleadoServlet.java / JefaServlet.java.</t>
  </si>
  <si>
    <t>RF-07</t>
  </si>
  <si>
    <t>Generar reportes de permisos y vacaciones filtrados por fecha o colaborador.</t>
  </si>
  <si>
    <t>—</t>
  </si>
  <si>
    <t>No cubierto</t>
  </si>
  <si>
    <t>El prototipo muestra tablas de solicitudes (Dashboard y vista 'Todas las Solicitudes'), pero no incluye ningún control de filtro por fecha o por colaborador, ni botón de exportar/generar reporte. Se requiere agregar esta función en una próxima iteración.</t>
  </si>
  <si>
    <t>RF-08</t>
  </si>
  <si>
    <t>Mostrar la información en un panel centralizado.</t>
  </si>
  <si>
    <t>Vista 'Panel de Control' (dashboard_jefa.jsp) — KPIs (Empleados activos, Solicitudes pendientes, LFT Art. 76) + tabla de empleados + tabla de solicitudes pendientes, todo en una sola pantalla.</t>
  </si>
  <si>
    <t>RF-09</t>
  </si>
  <si>
    <t>Almacenar la información de forma persistente y centralizada.</t>
  </si>
  <si>
    <t>No aplica al prototipo</t>
  </si>
  <si>
    <t>Requisito de arquitectura/backend (base de datos vía DBConnection.java y los DAO: EmpleadoDAO, SolicitudDAO, UsuarioDAO). No es un elemento visible en el HTML/JSP; se valida revisando que los datos persistan tras cerrar sesión y volver a entrar en el sistema funcional, no en el prototipo estático.</t>
  </si>
  <si>
    <t>RF-10</t>
  </si>
  <si>
    <t>Permitir el acceso simultáneo de múltiples usuarios.</t>
  </si>
  <si>
    <t>Requisito de concurrencia/servidor. Se validará con pruebas de carga sobre la aplicación desplegada (Tomcat/Glassfish), no es observable en una pantalla estática.</t>
  </si>
  <si>
    <t>RNF-01</t>
  </si>
  <si>
    <t>Accesible desde cualquier computadora vía navegador, sin instalación.</t>
  </si>
  <si>
    <t>RNF</t>
  </si>
  <si>
    <t>Toda la aplicación es JSP renderizado a HTML estándar, accesible vía URL en el navegador (login.jsp como punto de entrada).</t>
  </si>
  <si>
    <t>Se confirma con la estructura del proyecto (Web Pages servidas por Tomcat/Glassfish); no requiere instalación en el cliente.</t>
  </si>
  <si>
    <t>RNF-02</t>
  </si>
  <si>
    <t>Proteger los datos del personal mediante autenticación de usuarios.</t>
  </si>
  <si>
    <t>Formulario de login — campos 'Usuario corporativo' y 'Contraseña', botón 'Ingresar al sistema'. Las pantallas internas (dashboard_empleado.jsp, dashboard_jefa.jsp, lista_empleados.jsp) verifican session.getAttribute('empleado'/'usuario') y redirigen a LoginServlet si es null.</t>
  </si>
  <si>
    <t>RNF-03</t>
  </si>
  <si>
    <t>Responder rápidamente a las acciones del usuario (≤3 seg).</t>
  </si>
  <si>
    <t>Requisito de rendimiento no observable en un prototipo HTML estático. Se validará con pruebas de carga/tiempo de respuesta sobre el sistema desplegado (medición de tiempos de respuesta del servlet bajo condiciones normales).</t>
  </si>
  <si>
    <t>RNF-04</t>
  </si>
  <si>
    <t>Disponibilidad del sistema ≥95% en horario laboral.</t>
  </si>
  <si>
    <t>Requisito de infraestructura/operación. Se validará mediante monitoreo del servidor (uptime) una vez desplegado el sistema; no aplica a un prototipo estático.</t>
  </si>
  <si>
    <t>RNF-05</t>
  </si>
  <si>
    <t>Garantizar que la información registrada no se pierda ni se corrompa.</t>
  </si>
  <si>
    <t>Depende de la capa de persistencia (DBConnection.java, DAOs) y de respaldos de base de datos. Se validará verificando integridad de datos tras cerrar sesión/reiniciar el sistema funcional.</t>
  </si>
  <si>
    <t>RNF-06</t>
  </si>
  <si>
    <t>Soportar múltiples usuarios conectados simultáneamente (≥15).</t>
  </si>
  <si>
    <t>Requisito de escalabilidad de servidor. Se validará con pruebas de concurrencia/carga sobre el sistema desplegado.</t>
  </si>
  <si>
    <t>RNF-07</t>
  </si>
  <si>
    <t>Compatible con distintos navegadores web (Chrome, Edge, Firefox).</t>
  </si>
  <si>
    <t>Maquetación basada en HTML5/CSS estándar (style.css) y fuentes web (Google Fonts), sin uso de APIs o componentes propietarios de un solo navegador.</t>
  </si>
  <si>
    <t>El prototipo no ha sido probado formalmente en los 3 navegadores indicados; se construyó con estándares web por lo que es razonable esperar compatibilidad, pero falta una sesión de pruebas cruzadas para marcarlo como 'Cubierto'.</t>
  </si>
  <si>
    <t>Resumen de Cobertura — Caso Santa Imelda</t>
  </si>
  <si>
    <t>Cantidad</t>
  </si>
  <si>
    <t>% del total</t>
  </si>
  <si>
    <t>Total de requerimientos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</si>
</sst>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.5"/>
      <name val="Calibri"/>
      <charset val="1"/>
    </font>
    <font>
      <b/>
      <sz val="14"/>
      <color rgb="FF1F3864"/>
      <name val="Calibri"/>
      <charset val="1"/>
    </font>
    <font>
      <b/>
      <sz val="10.5"/>
      <name val="Cambria"/>
      <charset val="1"/>
    </font>
    <font>
      <i/>
      <sz val="9.5"/>
      <color rgb="FF666666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26" customWidth="1"/>
    <col min="3" max="3" width="60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4" t="s">
        <v>4</v>
      </c>
      <c r="C2" s="4" t="s">
        <v>5</v>
      </c>
    </row>
    <row r="3" spans="1:3" x14ac:dyDescent="0.35">
      <c r="A3" s="4" t="s">
        <v>6</v>
      </c>
      <c r="B3" s="4" t="s">
        <v>7</v>
      </c>
      <c r="C3" s="4" t="s">
        <v>8</v>
      </c>
    </row>
    <row r="4" spans="1:3" ht="28" x14ac:dyDescent="0.35">
      <c r="A4" s="4" t="s">
        <v>9</v>
      </c>
      <c r="B4" s="4" t="s">
        <v>10</v>
      </c>
      <c r="C4" s="4" t="s">
        <v>11</v>
      </c>
    </row>
    <row r="5" spans="1:3" x14ac:dyDescent="0.35">
      <c r="A5" s="4" t="s">
        <v>12</v>
      </c>
      <c r="B5" s="4" t="s">
        <v>13</v>
      </c>
      <c r="C5" s="4" t="s">
        <v>14</v>
      </c>
    </row>
    <row r="6" spans="1:3" x14ac:dyDescent="0.35">
      <c r="A6" s="4" t="s">
        <v>15</v>
      </c>
      <c r="B6" s="4" t="s">
        <v>16</v>
      </c>
      <c r="C6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opLeftCell="B1" zoomScaleNormal="100" workbookViewId="0">
      <pane ySplit="1" topLeftCell="A8" activePane="bottomLeft" state="frozen"/>
      <selection pane="bottomLeft" activeCell="G8" sqref="G8"/>
    </sheetView>
  </sheetViews>
  <sheetFormatPr baseColWidth="10" defaultColWidth="8.6328125" defaultRowHeight="14.5" x14ac:dyDescent="0.35"/>
  <cols>
    <col min="1" max="1" width="14" customWidth="1"/>
    <col min="2" max="2" width="42" customWidth="1"/>
    <col min="3" max="3" width="8" customWidth="1"/>
    <col min="4" max="4" width="11" customWidth="1"/>
    <col min="5" max="5" width="55" customWidth="1"/>
    <col min="6" max="6" width="20" customWidth="1"/>
    <col min="7" max="7" width="16" customWidth="1"/>
    <col min="8" max="8" width="48" customWidth="1"/>
  </cols>
  <sheetData>
    <row r="1" spans="1:8" ht="31.5" customHeight="1" x14ac:dyDescent="0.35">
      <c r="A1" s="3" t="s">
        <v>18</v>
      </c>
      <c r="B1" s="3" t="s">
        <v>19</v>
      </c>
      <c r="C1" s="3" t="s">
        <v>20</v>
      </c>
      <c r="D1" s="3" t="s">
        <v>0</v>
      </c>
      <c r="E1" s="3" t="s">
        <v>21</v>
      </c>
      <c r="F1" s="3" t="s">
        <v>22</v>
      </c>
      <c r="G1" s="3" t="s">
        <v>23</v>
      </c>
      <c r="H1" s="3" t="s">
        <v>24</v>
      </c>
    </row>
    <row r="2" spans="1:8" ht="42" x14ac:dyDescent="0.35">
      <c r="A2" s="5" t="s">
        <v>25</v>
      </c>
      <c r="B2" s="4" t="s">
        <v>26</v>
      </c>
      <c r="C2" s="5" t="s">
        <v>27</v>
      </c>
      <c r="D2" s="5" t="s">
        <v>12</v>
      </c>
      <c r="E2" s="4" t="s">
        <v>28</v>
      </c>
      <c r="F2" s="6" t="s">
        <v>29</v>
      </c>
      <c r="G2" s="5" t="s">
        <v>30</v>
      </c>
      <c r="H2" s="4"/>
    </row>
    <row r="3" spans="1:8" ht="56" x14ac:dyDescent="0.35">
      <c r="A3" s="5" t="s">
        <v>31</v>
      </c>
      <c r="B3" s="4" t="s">
        <v>32</v>
      </c>
      <c r="C3" s="5" t="s">
        <v>27</v>
      </c>
      <c r="D3" s="5" t="s">
        <v>3</v>
      </c>
      <c r="E3" s="4" t="s">
        <v>33</v>
      </c>
      <c r="F3" s="7" t="s">
        <v>34</v>
      </c>
      <c r="G3" s="5" t="s">
        <v>30</v>
      </c>
      <c r="H3" s="4" t="s">
        <v>35</v>
      </c>
    </row>
    <row r="4" spans="1:8" ht="56" x14ac:dyDescent="0.35">
      <c r="A4" s="5" t="s">
        <v>36</v>
      </c>
      <c r="B4" s="4" t="s">
        <v>37</v>
      </c>
      <c r="C4" s="5" t="s">
        <v>27</v>
      </c>
      <c r="D4" s="5" t="s">
        <v>6</v>
      </c>
      <c r="E4" s="4" t="s">
        <v>38</v>
      </c>
      <c r="F4" s="6" t="s">
        <v>29</v>
      </c>
      <c r="G4" s="5" t="s">
        <v>30</v>
      </c>
      <c r="H4" s="4" t="s">
        <v>39</v>
      </c>
    </row>
    <row r="5" spans="1:8" ht="28" x14ac:dyDescent="0.35">
      <c r="A5" s="5" t="s">
        <v>40</v>
      </c>
      <c r="B5" s="4" t="s">
        <v>41</v>
      </c>
      <c r="C5" s="5" t="s">
        <v>27</v>
      </c>
      <c r="D5" s="5" t="s">
        <v>9</v>
      </c>
      <c r="E5" s="4" t="s">
        <v>42</v>
      </c>
      <c r="F5" s="6" t="s">
        <v>29</v>
      </c>
      <c r="G5" s="5" t="s">
        <v>30</v>
      </c>
      <c r="H5" s="4"/>
    </row>
    <row r="6" spans="1:8" ht="56" x14ac:dyDescent="0.35">
      <c r="A6" s="5" t="s">
        <v>43</v>
      </c>
      <c r="B6" s="4" t="s">
        <v>44</v>
      </c>
      <c r="C6" s="5" t="s">
        <v>27</v>
      </c>
      <c r="D6" s="5" t="s">
        <v>9</v>
      </c>
      <c r="E6" s="4" t="s">
        <v>45</v>
      </c>
      <c r="F6" s="6" t="s">
        <v>29</v>
      </c>
      <c r="G6" s="5" t="s">
        <v>30</v>
      </c>
      <c r="H6" s="4"/>
    </row>
    <row r="7" spans="1:8" ht="70" x14ac:dyDescent="0.35">
      <c r="A7" s="5" t="s">
        <v>46</v>
      </c>
      <c r="B7" s="4" t="s">
        <v>47</v>
      </c>
      <c r="C7" s="5" t="s">
        <v>27</v>
      </c>
      <c r="D7" s="5" t="s">
        <v>6</v>
      </c>
      <c r="E7" s="4" t="s">
        <v>48</v>
      </c>
      <c r="F7" s="7" t="s">
        <v>34</v>
      </c>
      <c r="G7" s="5" t="s">
        <v>30</v>
      </c>
      <c r="H7" s="4" t="s">
        <v>49</v>
      </c>
    </row>
    <row r="8" spans="1:8" ht="70" x14ac:dyDescent="0.35">
      <c r="A8" s="5" t="s">
        <v>50</v>
      </c>
      <c r="B8" s="4" t="s">
        <v>51</v>
      </c>
      <c r="C8" s="5" t="s">
        <v>27</v>
      </c>
      <c r="D8" s="5" t="s">
        <v>9</v>
      </c>
      <c r="E8" s="4" t="s">
        <v>52</v>
      </c>
      <c r="F8" s="8" t="s">
        <v>53</v>
      </c>
      <c r="G8" s="5" t="s">
        <v>30</v>
      </c>
      <c r="H8" s="4" t="s">
        <v>54</v>
      </c>
    </row>
    <row r="9" spans="1:8" ht="42" x14ac:dyDescent="0.35">
      <c r="A9" s="5" t="s">
        <v>55</v>
      </c>
      <c r="B9" s="4" t="s">
        <v>56</v>
      </c>
      <c r="C9" s="5" t="s">
        <v>27</v>
      </c>
      <c r="D9" s="5" t="s">
        <v>9</v>
      </c>
      <c r="E9" s="4" t="s">
        <v>57</v>
      </c>
      <c r="F9" s="6" t="s">
        <v>29</v>
      </c>
      <c r="G9" s="5" t="s">
        <v>30</v>
      </c>
      <c r="H9" s="4"/>
    </row>
    <row r="10" spans="1:8" ht="84" x14ac:dyDescent="0.35">
      <c r="A10" s="5" t="s">
        <v>58</v>
      </c>
      <c r="B10" s="4" t="s">
        <v>59</v>
      </c>
      <c r="C10" s="5" t="s">
        <v>27</v>
      </c>
      <c r="D10" s="5" t="s">
        <v>52</v>
      </c>
      <c r="E10" s="4" t="s">
        <v>52</v>
      </c>
      <c r="F10" s="9" t="s">
        <v>60</v>
      </c>
      <c r="G10" s="5" t="s">
        <v>30</v>
      </c>
      <c r="H10" s="4" t="s">
        <v>61</v>
      </c>
    </row>
    <row r="11" spans="1:8" ht="42" x14ac:dyDescent="0.35">
      <c r="A11" s="5" t="s">
        <v>62</v>
      </c>
      <c r="B11" s="4" t="s">
        <v>63</v>
      </c>
      <c r="C11" s="5" t="s">
        <v>27</v>
      </c>
      <c r="D11" s="5" t="s">
        <v>52</v>
      </c>
      <c r="E11" s="4" t="s">
        <v>52</v>
      </c>
      <c r="F11" s="9" t="s">
        <v>60</v>
      </c>
      <c r="G11" s="5" t="s">
        <v>30</v>
      </c>
      <c r="H11" s="4" t="s">
        <v>64</v>
      </c>
    </row>
    <row r="12" spans="1:8" ht="42" x14ac:dyDescent="0.35">
      <c r="A12" s="5" t="s">
        <v>65</v>
      </c>
      <c r="B12" s="4" t="s">
        <v>66</v>
      </c>
      <c r="C12" s="5" t="s">
        <v>67</v>
      </c>
      <c r="D12" s="5" t="s">
        <v>3</v>
      </c>
      <c r="E12" s="4" t="s">
        <v>68</v>
      </c>
      <c r="F12" s="6" t="s">
        <v>29</v>
      </c>
      <c r="G12" s="5" t="s">
        <v>30</v>
      </c>
      <c r="H12" s="4" t="s">
        <v>69</v>
      </c>
    </row>
    <row r="13" spans="1:8" ht="70" x14ac:dyDescent="0.35">
      <c r="A13" s="5" t="s">
        <v>70</v>
      </c>
      <c r="B13" s="4" t="s">
        <v>71</v>
      </c>
      <c r="C13" s="5" t="s">
        <v>67</v>
      </c>
      <c r="D13" s="5" t="s">
        <v>3</v>
      </c>
      <c r="E13" s="4" t="s">
        <v>72</v>
      </c>
      <c r="F13" s="6" t="s">
        <v>29</v>
      </c>
      <c r="G13" s="5" t="s">
        <v>30</v>
      </c>
      <c r="H13" s="4"/>
    </row>
    <row r="14" spans="1:8" ht="70" x14ac:dyDescent="0.35">
      <c r="A14" s="5" t="s">
        <v>73</v>
      </c>
      <c r="B14" s="4" t="s">
        <v>74</v>
      </c>
      <c r="C14" s="5" t="s">
        <v>67</v>
      </c>
      <c r="D14" s="5" t="s">
        <v>52</v>
      </c>
      <c r="E14" s="4" t="s">
        <v>52</v>
      </c>
      <c r="F14" s="9" t="s">
        <v>60</v>
      </c>
      <c r="G14" s="5" t="s">
        <v>30</v>
      </c>
      <c r="H14" s="4" t="s">
        <v>75</v>
      </c>
    </row>
    <row r="15" spans="1:8" ht="42" x14ac:dyDescent="0.35">
      <c r="A15" s="5" t="s">
        <v>76</v>
      </c>
      <c r="B15" s="4" t="s">
        <v>77</v>
      </c>
      <c r="C15" s="5" t="s">
        <v>67</v>
      </c>
      <c r="D15" s="5" t="s">
        <v>52</v>
      </c>
      <c r="E15" s="4" t="s">
        <v>52</v>
      </c>
      <c r="F15" s="9" t="s">
        <v>60</v>
      </c>
      <c r="G15" s="5" t="s">
        <v>30</v>
      </c>
      <c r="H15" s="4" t="s">
        <v>78</v>
      </c>
    </row>
    <row r="16" spans="1:8" ht="56" x14ac:dyDescent="0.35">
      <c r="A16" s="5" t="s">
        <v>79</v>
      </c>
      <c r="B16" s="4" t="s">
        <v>80</v>
      </c>
      <c r="C16" s="5" t="s">
        <v>67</v>
      </c>
      <c r="D16" s="5" t="s">
        <v>52</v>
      </c>
      <c r="E16" s="4" t="s">
        <v>52</v>
      </c>
      <c r="F16" s="9" t="s">
        <v>60</v>
      </c>
      <c r="G16" s="5" t="s">
        <v>30</v>
      </c>
      <c r="H16" s="4" t="s">
        <v>81</v>
      </c>
    </row>
    <row r="17" spans="1:8" ht="28" x14ac:dyDescent="0.35">
      <c r="A17" s="5" t="s">
        <v>82</v>
      </c>
      <c r="B17" s="4" t="s">
        <v>83</v>
      </c>
      <c r="C17" s="5" t="s">
        <v>67</v>
      </c>
      <c r="D17" s="5" t="s">
        <v>52</v>
      </c>
      <c r="E17" s="4" t="s">
        <v>52</v>
      </c>
      <c r="F17" s="9" t="s">
        <v>60</v>
      </c>
      <c r="G17" s="5" t="s">
        <v>30</v>
      </c>
      <c r="H17" s="4" t="s">
        <v>84</v>
      </c>
    </row>
    <row r="18" spans="1:8" ht="70" x14ac:dyDescent="0.35">
      <c r="A18" s="5" t="s">
        <v>85</v>
      </c>
      <c r="B18" s="4" t="s">
        <v>86</v>
      </c>
      <c r="C18" s="5" t="s">
        <v>67</v>
      </c>
      <c r="D18" s="5" t="s">
        <v>3</v>
      </c>
      <c r="E18" s="4" t="s">
        <v>87</v>
      </c>
      <c r="F18" s="7" t="s">
        <v>34</v>
      </c>
      <c r="G18" s="5" t="s">
        <v>30</v>
      </c>
      <c r="H18" s="4" t="s">
        <v>88</v>
      </c>
    </row>
  </sheetData>
  <dataValidations count="4">
    <dataValidation type="list" sqref="F2:F18" xr:uid="{00000000-0002-0000-0100-000000000000}">
      <formula1>"Cubierto,Parcialmente cubierto,No cubierto,No aplica al prototipo"</formula1>
      <formula2>0</formula2>
    </dataValidation>
    <dataValidation type="list" sqref="G2:G18" xr:uid="{00000000-0002-0000-0100-000001000000}">
      <formula1>"Sí,No,Pendiente"</formula1>
      <formula2>0</formula2>
    </dataValidation>
    <dataValidation type="list" sqref="C2:C18" xr:uid="{00000000-0002-0000-0100-000002000000}">
      <formula1>"RF,RNF"</formula1>
      <formula2>0</formula2>
    </dataValidation>
    <dataValidation type="list" allowBlank="1" sqref="D2:D18" xr:uid="{00000000-0002-0000-0100-000003000000}">
      <formula1>"PNT-01,PNT-02,PNT-03,PNT-04,PNT-05,—"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>
      <selection activeCell="A10" sqref="A10:D10"/>
    </sheetView>
  </sheetViews>
  <sheetFormatPr baseColWidth="10" defaultColWidth="8.6328125" defaultRowHeight="14.5" x14ac:dyDescent="0.35"/>
  <cols>
    <col min="1" max="1" width="26" customWidth="1"/>
    <col min="2" max="2" width="12" customWidth="1"/>
    <col min="3" max="3" width="14" customWidth="1"/>
  </cols>
  <sheetData>
    <row r="1" spans="1:4" ht="18.5" x14ac:dyDescent="0.45">
      <c r="A1" s="2" t="s">
        <v>89</v>
      </c>
      <c r="B1" s="2"/>
      <c r="C1" s="2"/>
    </row>
    <row r="3" spans="1:4" x14ac:dyDescent="0.35">
      <c r="A3" s="3" t="s">
        <v>22</v>
      </c>
      <c r="B3" s="3" t="s">
        <v>90</v>
      </c>
      <c r="C3" s="3" t="s">
        <v>91</v>
      </c>
    </row>
    <row r="4" spans="1:4" x14ac:dyDescent="0.35">
      <c r="A4" s="10" t="s">
        <v>29</v>
      </c>
      <c r="B4" s="11">
        <f>COUNTIF('Matriz de Trazabilidad'!F:F,"Cubierto")</f>
        <v>7</v>
      </c>
      <c r="C4" s="12">
        <f>B4/17</f>
        <v>0.41176470588235292</v>
      </c>
    </row>
    <row r="5" spans="1:4" x14ac:dyDescent="0.35">
      <c r="A5" s="13" t="s">
        <v>34</v>
      </c>
      <c r="B5" s="11">
        <f>COUNTIF('Matriz de Trazabilidad'!F:F,"Parcialmente cubierto")</f>
        <v>3</v>
      </c>
      <c r="C5" s="12">
        <f>B5/17</f>
        <v>0.17647058823529413</v>
      </c>
    </row>
    <row r="6" spans="1:4" x14ac:dyDescent="0.35">
      <c r="A6" s="14" t="s">
        <v>53</v>
      </c>
      <c r="B6" s="11">
        <f>COUNTIF('Matriz de Trazabilidad'!F:F,"No cubierto")</f>
        <v>1</v>
      </c>
      <c r="C6" s="12">
        <f>B6/17</f>
        <v>5.8823529411764705E-2</v>
      </c>
    </row>
    <row r="7" spans="1:4" x14ac:dyDescent="0.35">
      <c r="A7" s="15" t="s">
        <v>60</v>
      </c>
      <c r="B7" s="11">
        <f>COUNTIF('Matriz de Trazabilidad'!F:F,"No aplica al prototipo")</f>
        <v>6</v>
      </c>
      <c r="C7" s="12">
        <f>B7/17</f>
        <v>0.35294117647058826</v>
      </c>
    </row>
    <row r="8" spans="1:4" x14ac:dyDescent="0.35">
      <c r="A8" s="16" t="s">
        <v>92</v>
      </c>
      <c r="B8" s="16">
        <f>SUM(B4:B7)</f>
        <v>17</v>
      </c>
      <c r="C8" s="17">
        <f>SUM(C4:C7)</f>
        <v>1</v>
      </c>
    </row>
    <row r="10" spans="1:4" x14ac:dyDescent="0.35">
      <c r="A10" s="1"/>
      <c r="B10" s="1"/>
      <c r="C10" s="1"/>
      <c r="D10" s="1"/>
    </row>
  </sheetData>
  <mergeCells count="2">
    <mergeCell ref="A1:C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Pantallas</vt:lpstr>
      <vt:lpstr>Matriz de Trazabilidad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Pamela Rosales</cp:lastModifiedBy>
  <cp:revision>0</cp:revision>
  <dcterms:created xsi:type="dcterms:W3CDTF">2026-06-18T06:01:42Z</dcterms:created>
  <dcterms:modified xsi:type="dcterms:W3CDTF">2026-06-18T06:10:32Z</dcterms:modified>
  <dc:language>en-US</dc:language>
</cp:coreProperties>
</file>