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8f30b73af73f0f6/Documentos/MATERIAS 4 SEMESTRE/MODELADO DE REQUERIMIENTOS/"/>
    </mc:Choice>
  </mc:AlternateContent>
  <xr:revisionPtr revIDLastSave="10" documentId="8_{A33D27B4-CF5D-48F2-B2E8-0BA52C4146E6}" xr6:coauthVersionLast="47" xr6:coauthVersionMax="47" xr10:uidLastSave="{4B1EAC22-FF2A-46F1-9255-424B667BF259}"/>
  <bookViews>
    <workbookView xWindow="-110" yWindow="-110" windowWidth="22620" windowHeight="13500" activeTab="3" xr2:uid="{00000000-000D-0000-FFFF-FFFF00000000}"/>
  </bookViews>
  <sheets>
    <sheet name="Instrucciones" sheetId="1" r:id="rId1"/>
    <sheet name="RF - Funcionales" sheetId="2" r:id="rId2"/>
    <sheet name="RNF - No Funcionales" sheetId="3" r:id="rId3"/>
    <sheet name="Resumen" sheetId="4" r:id="rId4"/>
  </sheets>
  <definedNames>
    <definedName name="_xlnm._FilterDatabase" localSheetId="1" hidden="1">'RF - Funcionales'!$A$1:$H$100</definedName>
    <definedName name="_xlnm._FilterDatabase" localSheetId="2" hidden="1">'RNF - No Funcionales'!$A$1:$I$100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4" l="1"/>
  <c r="B20" i="4"/>
  <c r="B19" i="4"/>
  <c r="B18" i="4"/>
  <c r="B17" i="4"/>
  <c r="B14" i="4"/>
  <c r="B13" i="4"/>
  <c r="B12" i="4"/>
  <c r="B11" i="4"/>
  <c r="B7" i="4"/>
  <c r="B6" i="4"/>
  <c r="B8" i="4" l="1"/>
</calcChain>
</file>

<file path=xl/sharedStrings.xml><?xml version="1.0" encoding="utf-8"?>
<sst xmlns="http://schemas.openxmlformats.org/spreadsheetml/2006/main" count="194" uniqueCount="141">
  <si>
    <t>MATRIZ DE REQUERIMIENTOS - INSTRUCCIONES DE USO</t>
  </si>
  <si>
    <t>Propósito de esta matriz</t>
  </si>
  <si>
    <t>Esta matriz les permite documentar, priorizar y dar seguimiento a los requerimientos identificados en las entrevistas con el cliente.</t>
  </si>
  <si>
    <t>La matriz está diseñada para refinamiento iterativo: pueden ir agregando y modificando requerimientos conforme avanzan las entrevistas.</t>
  </si>
  <si>
    <t>Cómo usar esta plantilla:</t>
  </si>
  <si>
    <t>1. Vayan a la pestaña 'RF - Requerimientos Funcionales' y documenten todos los requerimientos funcionales identificados.</t>
  </si>
  <si>
    <t>2. Vayan a la pestaña 'RNF - Requerimientos No Funcionales' y documenten los no funcionales.</t>
  </si>
  <si>
    <t>3. La pestaña 'Resumen' se actualiza automáticamente con estadísticas.</t>
  </si>
  <si>
    <t>4. Usen los filtros de las columnas para ordenar por prioridad, estado, etc.</t>
  </si>
  <si>
    <t>Descripción de columnas:</t>
  </si>
  <si>
    <t>ID: Identificador único. Formato: RF-01, RF-02... para funcionales; RNF-01, RNF-02... para no funcionales.</t>
  </si>
  <si>
    <t>Descripción: Redactar en formato 'El sistema debe...' Ser específico y claro.</t>
  </si>
  <si>
    <t>Criterio de aceptación: ¿Cómo sabemos que el requerimiento está cumplido? OBLIGATORIO para Must-have.</t>
  </si>
  <si>
    <t>Prioridad: Usar metodología MoSCoW:</t>
  </si>
  <si>
    <t xml:space="preserve">  • Must have: Sin esto, el sistema no tiene sentido</t>
  </si>
  <si>
    <t xml:space="preserve">  • Should have: Muy importante, pero no crítico para primera versión</t>
  </si>
  <si>
    <t xml:space="preserve">  • Could have: Deseable si hay tiempo/presupuesto</t>
  </si>
  <si>
    <t xml:space="preserve">  • Won't have: Fuera de alcance en esta versión</t>
  </si>
  <si>
    <t>Fuente: ¿Quién solicitó este requerimiento? (nombre del stakeholder o rol)</t>
  </si>
  <si>
    <t>Estado: Evolución del requerimiento:</t>
  </si>
  <si>
    <t xml:space="preserve">  • Propuesto: Identificado en entrevista, pendiente de análisis</t>
  </si>
  <si>
    <t xml:space="preserve">  • En revisión: El equipo lo está analizando/refinando</t>
  </si>
  <si>
    <t xml:space="preserve">  • Validado internamente: El equipo confirma que es correcto</t>
  </si>
  <si>
    <t xml:space="preserve">  • Validado con cliente: El cliente lo aprobó</t>
  </si>
  <si>
    <t xml:space="preserve">  • Rechazado: Se decidió no incluirlo (explicar en Notas)</t>
  </si>
  <si>
    <t>Versión: Número de versión del requerimiento (empieza en 1.0, si lo modifican pasa a 1.1, etc.)</t>
  </si>
  <si>
    <t>Notas: Comentarios, dependencias con otros requerimientos, aclaraciones.</t>
  </si>
  <si>
    <t>Errores comunes a evitar:</t>
  </si>
  <si>
    <t>❌ Requerimientos ambiguos: 'El sistema debe ser rápido' → ✅ 'El sistema debe responder en menos de 2 segundos'</t>
  </si>
  <si>
    <t>❌ Soluciones disfrazadas de requerimientos: 'Debe usar MySQL' → ✅ 'Debe almacenar datos de forma persistente'</t>
  </si>
  <si>
    <t>❌ Requerimientos sin criterio de aceptación para Must-have → ✅ Siempre definir cómo validar</t>
  </si>
  <si>
    <t>❌ No indicar fuente → ✅ Rastrear quién lo pidió</t>
  </si>
  <si>
    <t>¡Éxito documentando sus requerimientos! 🚀</t>
  </si>
  <si>
    <t>ID</t>
  </si>
  <si>
    <t>Descripción</t>
  </si>
  <si>
    <t>Criterio de Aceptación</t>
  </si>
  <si>
    <t>Prioridad</t>
  </si>
  <si>
    <t>Fuente</t>
  </si>
  <si>
    <t>Estado</t>
  </si>
  <si>
    <t>Versión</t>
  </si>
  <si>
    <t>Notas</t>
  </si>
  <si>
    <t>RF-01</t>
  </si>
  <si>
    <t>Must have</t>
  </si>
  <si>
    <t>Validado internamente</t>
  </si>
  <si>
    <t>Categoría</t>
  </si>
  <si>
    <t>RNF-01</t>
  </si>
  <si>
    <t>Usabilidad</t>
  </si>
  <si>
    <t>RESUMEN DE REQUERIMIENTOS</t>
  </si>
  <si>
    <t>Esta hoja se actualizará automáticamente conforme agreguen requerimientos en las otras pestañas.</t>
  </si>
  <si>
    <t>Métrica</t>
  </si>
  <si>
    <t>Valor</t>
  </si>
  <si>
    <t>Total de Requerimientos Funcionales</t>
  </si>
  <si>
    <t>Total de Requerimientos No Funcionales</t>
  </si>
  <si>
    <t>Total General</t>
  </si>
  <si>
    <t>Requerimientos por Prioridad</t>
  </si>
  <si>
    <t>Must have (RF + RNF)</t>
  </si>
  <si>
    <t>Should have (RF + RNF)</t>
  </si>
  <si>
    <t>Could have (RF + RNF)</t>
  </si>
  <si>
    <t>Won't have (RF + RNF)</t>
  </si>
  <si>
    <t>Requerimientos por Estado</t>
  </si>
  <si>
    <t>Propuesto</t>
  </si>
  <si>
    <t>En revisión</t>
  </si>
  <si>
    <t>Validado con cliente</t>
  </si>
  <si>
    <t>Rechazado</t>
  </si>
  <si>
    <t>El sistema debe permitir registrar colaboradores con datos personales y laborales.</t>
  </si>
  <si>
    <t>El usuario administrativo puede capturar, guardar y visualizar colaboradores correctamente en el sistema.</t>
  </si>
  <si>
    <t>Dra. Hilda (Entrevista 1)</t>
  </si>
  <si>
    <t>Base del sistema</t>
  </si>
  <si>
    <t>RF-02</t>
  </si>
  <si>
    <t>El sistema debe permitir gestionar roles de usuario (administrador, colaborador).</t>
  </si>
  <si>
    <t>El sistema asigna permisos de acceso según el rol definido y restringe funcionalidades.</t>
  </si>
  <si>
    <t>Control de accesos</t>
  </si>
  <si>
    <t>RF-03</t>
  </si>
  <si>
    <t>El sistema debe permitir a los colaboradores solicitar permisos ingresando fechas y motivo.</t>
  </si>
  <si>
    <t>El colaborador puede enviar una solicitud y esta queda registrada con estado “pendiente”.</t>
  </si>
  <si>
    <t>Flujo principal</t>
  </si>
  <si>
    <t>RF-04</t>
  </si>
  <si>
    <t>El sistema debe permitir registrar y gestionar las vacaciones del personal.</t>
  </si>
  <si>
    <t>El sistema almacena, muestra y actualiza correctamente los periodos vacacionales.</t>
  </si>
  <si>
    <t>Relacionado con RF-03</t>
  </si>
  <si>
    <t>RF-05</t>
  </si>
  <si>
    <t>El sistema debe permitir aprobar o rechazar solicitudes de permisos y vacaciones.</t>
  </si>
  <si>
    <t>La Dra. puede cambiar el estado de la solicitud a aprobado o rechazado y queda registrado.</t>
  </si>
  <si>
    <t>Flujo de autorización</t>
  </si>
  <si>
    <t>RF-06</t>
  </si>
  <si>
    <t>El sistema debe validar automáticamente los datos ingresados para evitar errores.</t>
  </si>
  <si>
    <t>El sistema no permite guardar solicitudes con fechas inválidas o campos vacíos.</t>
  </si>
  <si>
    <t>Reduce errores (20%)</t>
  </si>
  <si>
    <t>RF-07</t>
  </si>
  <si>
    <t>El sistema debe generar reportes de permisos y vacaciones del personal.</t>
  </si>
  <si>
    <t>El usuario puede visualizar reportes filtrados por fecha o colaborador.</t>
  </si>
  <si>
    <t>Should have</t>
  </si>
  <si>
    <t>Apoyo a decisiones</t>
  </si>
  <si>
    <t>RF-08</t>
  </si>
  <si>
    <t>El sistema debe mostrar la información en un panel centralizado.</t>
  </si>
  <si>
    <t>El usuario puede visualizar todas las solicitudes y registros en una sola interfaz.</t>
  </si>
  <si>
    <t>Mejora visibilidad</t>
  </si>
  <si>
    <t>RF-09</t>
  </si>
  <si>
    <t>El sistema debe almacenar la información de forma persistente y centralizada.</t>
  </si>
  <si>
    <t>La información permanece guardada y disponible después de cerrar el sistema.</t>
  </si>
  <si>
    <t>Análisis del equipo</t>
  </si>
  <si>
    <t>Sustituye Excel/papel</t>
  </si>
  <si>
    <t>RF-10</t>
  </si>
  <si>
    <t>El sistema debe permitir el acceso simultáneo de múltiples usuarios.</t>
  </si>
  <si>
    <t>Varios usuarios pueden usar el sistema sin pérdida de información o conflictos.</t>
  </si>
  <si>
    <t>Escalabilidad</t>
  </si>
  <si>
    <t>Restricción del sistema</t>
  </si>
  <si>
    <t>Seguridad</t>
  </si>
  <si>
    <t>RNF-02</t>
  </si>
  <si>
    <t>RNF-03</t>
  </si>
  <si>
    <t>RNF-04</t>
  </si>
  <si>
    <t>RNF-05</t>
  </si>
  <si>
    <t>Buenas prácticas</t>
  </si>
  <si>
    <t>Rendimiento</t>
  </si>
  <si>
    <t>RNF-06</t>
  </si>
  <si>
    <t>El sistema debe ser accesible desde cualquier computadora mediante un navegador web sin necesidad de instalación.</t>
  </si>
  <si>
    <t>El sistema funciona correctamente en navegadores (Chrome, Edge) en computadoras con conexión a internet. Todas las funcionalidades están disponibles sin instalación previa.</t>
  </si>
  <si>
    <t>Sistema web</t>
  </si>
  <si>
    <t>El sistema debe proteger los datos del personal mediante autenticación de usuarios.</t>
  </si>
  <si>
    <t>El sistema solicita usuario y contraseña para acceder. Solo usuarios registrados pueden ingresar y visualizar información según su rol.</t>
  </si>
  <si>
    <t>Control de acceso</t>
  </si>
  <si>
    <t>El sistema debe responder rápidamente a las acciones del usuario.</t>
  </si>
  <si>
    <t>El sistema carga pantallas y procesa solicitudes en un tiempo menor o igual a 3 segundos en condiciones normales.</t>
  </si>
  <si>
    <t>Experiencia de usuario</t>
  </si>
  <si>
    <t>Disponibilidad</t>
  </si>
  <si>
    <t>El sistema debe estar disponible para su uso en horarios laborales de la clínica.</t>
  </si>
  <si>
    <t>El sistema está disponible al menos el 95% del tiempo durante el horario de operación sin fallas críticas.</t>
  </si>
  <si>
    <t>Uso continuo</t>
  </si>
  <si>
    <t>Integridad de datos</t>
  </si>
  <si>
    <t>El sistema debe garantizar que la información registrada no se pierda ni se corrompa.</t>
  </si>
  <si>
    <t>Los datos se guardan correctamente y permanecen disponibles después de cerrar sesión o reiniciar el sistema.</t>
  </si>
  <si>
    <t>Información crítica</t>
  </si>
  <si>
    <t>El sistema debe soportar múltiples usuarios conectados al mismo tiempo.</t>
  </si>
  <si>
    <t>El sistema permite que al menos 15 usuarios accedan simultáneamente sin errores o pérdida de información.</t>
  </si>
  <si>
    <t>Could have</t>
  </si>
  <si>
    <t>Crecimiento futuro</t>
  </si>
  <si>
    <t>RNF-07</t>
  </si>
  <si>
    <t>Compatibilidad</t>
  </si>
  <si>
    <t>El sistema debe ser compatible con diferentes navegadores web.</t>
  </si>
  <si>
    <t>El sistema funciona correctamente en Chrome, Edge y Firefox sin errores visuales o funcionales.</t>
  </si>
  <si>
    <t>Multiplataforma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</si>
</sst>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color rgb="FF1F4E79"/>
      <name val="Calibri"/>
    </font>
    <font>
      <b/>
      <sz val="11"/>
      <color rgb="FF1F4E79"/>
      <name val="Calibri"/>
    </font>
    <font>
      <b/>
      <sz val="11"/>
      <color rgb="FFFFFFFF"/>
      <name val="Calibri"/>
    </font>
    <font>
      <i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theme="3"/>
        <bgColor rgb="FF1F4E7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/>
    <xf numFmtId="0" fontId="1" fillId="0" borderId="0" xfId="0" applyFont="1"/>
    <xf numFmtId="0" fontId="0" fillId="0" borderId="0" xfId="0"/>
    <xf numFmtId="0" fontId="5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opLeftCell="A6" workbookViewId="0">
      <selection sqref="A1:H1"/>
    </sheetView>
  </sheetViews>
  <sheetFormatPr baseColWidth="10" defaultColWidth="8.7265625" defaultRowHeight="14.5" x14ac:dyDescent="0.35"/>
  <cols>
    <col min="1" max="1" width="120" customWidth="1"/>
  </cols>
  <sheetData>
    <row r="1" spans="1:8" ht="21" x14ac:dyDescent="0.5">
      <c r="A1" s="5" t="s">
        <v>0</v>
      </c>
      <c r="B1" s="6"/>
      <c r="C1" s="6"/>
      <c r="D1" s="6"/>
      <c r="E1" s="6"/>
      <c r="F1" s="6"/>
      <c r="G1" s="6"/>
      <c r="H1" s="6"/>
    </row>
    <row r="3" spans="1:8" ht="15.5" x14ac:dyDescent="0.35">
      <c r="A3" s="1" t="s">
        <v>1</v>
      </c>
    </row>
    <row r="4" spans="1:8" x14ac:dyDescent="0.35">
      <c r="A4" s="2" t="s">
        <v>2</v>
      </c>
    </row>
    <row r="5" spans="1:8" x14ac:dyDescent="0.35">
      <c r="A5" s="2" t="s">
        <v>3</v>
      </c>
    </row>
    <row r="7" spans="1:8" x14ac:dyDescent="0.35">
      <c r="A7" s="3" t="s">
        <v>4</v>
      </c>
    </row>
    <row r="8" spans="1:8" x14ac:dyDescent="0.35">
      <c r="A8" s="2" t="s">
        <v>5</v>
      </c>
    </row>
    <row r="9" spans="1:8" x14ac:dyDescent="0.35">
      <c r="A9" s="2" t="s">
        <v>6</v>
      </c>
    </row>
    <row r="10" spans="1:8" x14ac:dyDescent="0.35">
      <c r="A10" s="2" t="s">
        <v>7</v>
      </c>
    </row>
    <row r="11" spans="1:8" x14ac:dyDescent="0.35">
      <c r="A11" s="2" t="s">
        <v>8</v>
      </c>
    </row>
    <row r="13" spans="1:8" x14ac:dyDescent="0.35">
      <c r="A13" s="3" t="s">
        <v>9</v>
      </c>
    </row>
    <row r="15" spans="1:8" x14ac:dyDescent="0.35">
      <c r="A15" s="2" t="s">
        <v>10</v>
      </c>
    </row>
    <row r="16" spans="1:8" x14ac:dyDescent="0.35">
      <c r="A16" s="2" t="s">
        <v>11</v>
      </c>
    </row>
    <row r="17" spans="1:1" x14ac:dyDescent="0.35">
      <c r="A17" s="2" t="s">
        <v>12</v>
      </c>
    </row>
    <row r="18" spans="1:1" x14ac:dyDescent="0.35">
      <c r="A18" s="2" t="s">
        <v>13</v>
      </c>
    </row>
    <row r="19" spans="1:1" x14ac:dyDescent="0.35">
      <c r="A19" s="2" t="s">
        <v>14</v>
      </c>
    </row>
    <row r="20" spans="1:1" x14ac:dyDescent="0.35">
      <c r="A20" s="2" t="s">
        <v>15</v>
      </c>
    </row>
    <row r="21" spans="1:1" x14ac:dyDescent="0.35">
      <c r="A21" s="2" t="s">
        <v>16</v>
      </c>
    </row>
    <row r="22" spans="1:1" x14ac:dyDescent="0.35">
      <c r="A22" s="2" t="s">
        <v>17</v>
      </c>
    </row>
    <row r="23" spans="1:1" x14ac:dyDescent="0.35">
      <c r="A23" s="2" t="s">
        <v>18</v>
      </c>
    </row>
    <row r="24" spans="1:1" x14ac:dyDescent="0.35">
      <c r="A24" s="2" t="s">
        <v>19</v>
      </c>
    </row>
    <row r="25" spans="1:1" x14ac:dyDescent="0.35">
      <c r="A25" s="2" t="s">
        <v>20</v>
      </c>
    </row>
    <row r="26" spans="1:1" x14ac:dyDescent="0.35">
      <c r="A26" s="2" t="s">
        <v>21</v>
      </c>
    </row>
    <row r="27" spans="1:1" x14ac:dyDescent="0.35">
      <c r="A27" s="2" t="s">
        <v>22</v>
      </c>
    </row>
    <row r="28" spans="1:1" x14ac:dyDescent="0.35">
      <c r="A28" s="2" t="s">
        <v>23</v>
      </c>
    </row>
    <row r="29" spans="1:1" x14ac:dyDescent="0.35">
      <c r="A29" s="2" t="s">
        <v>24</v>
      </c>
    </row>
    <row r="30" spans="1:1" x14ac:dyDescent="0.35">
      <c r="A30" s="2" t="s">
        <v>25</v>
      </c>
    </row>
    <row r="31" spans="1:1" x14ac:dyDescent="0.35">
      <c r="A31" s="2" t="s">
        <v>26</v>
      </c>
    </row>
    <row r="33" spans="1:1" x14ac:dyDescent="0.35">
      <c r="A33" s="3" t="s">
        <v>27</v>
      </c>
    </row>
    <row r="34" spans="1:1" x14ac:dyDescent="0.35">
      <c r="A34" s="2" t="s">
        <v>28</v>
      </c>
    </row>
    <row r="35" spans="1:1" x14ac:dyDescent="0.35">
      <c r="A35" s="2" t="s">
        <v>29</v>
      </c>
    </row>
    <row r="36" spans="1:1" x14ac:dyDescent="0.35">
      <c r="A36" s="2" t="s">
        <v>30</v>
      </c>
    </row>
    <row r="37" spans="1:1" x14ac:dyDescent="0.35">
      <c r="A37" s="2" t="s">
        <v>31</v>
      </c>
    </row>
    <row r="39" spans="1:1" x14ac:dyDescent="0.35">
      <c r="A39" s="2" t="s">
        <v>32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pane ySplit="1" topLeftCell="A2" activePane="bottomLeft" state="frozen"/>
      <selection pane="bottomLeft" activeCell="G3" sqref="G3"/>
    </sheetView>
  </sheetViews>
  <sheetFormatPr baseColWidth="10" defaultColWidth="8.7265625" defaultRowHeight="14.5" x14ac:dyDescent="0.35"/>
  <cols>
    <col min="1" max="1" width="10" customWidth="1"/>
    <col min="2" max="2" width="50" customWidth="1"/>
    <col min="3" max="3" width="40" customWidth="1"/>
    <col min="4" max="4" width="15" customWidth="1"/>
    <col min="5" max="6" width="20" customWidth="1"/>
    <col min="7" max="7" width="10" customWidth="1"/>
    <col min="8" max="8" width="30" customWidth="1"/>
  </cols>
  <sheetData>
    <row r="1" spans="1:8" ht="15" thickBot="1" x14ac:dyDescent="0.4">
      <c r="A1" s="8" t="s">
        <v>33</v>
      </c>
      <c r="B1" s="9" t="s">
        <v>34</v>
      </c>
      <c r="C1" s="8" t="s">
        <v>35</v>
      </c>
      <c r="D1" s="8" t="s">
        <v>36</v>
      </c>
      <c r="E1" s="8" t="s">
        <v>37</v>
      </c>
      <c r="F1" s="8" t="s">
        <v>38</v>
      </c>
      <c r="G1" s="8" t="s">
        <v>39</v>
      </c>
      <c r="H1" s="8" t="s">
        <v>40</v>
      </c>
    </row>
    <row r="2" spans="1:8" ht="68.5" customHeight="1" thickBot="1" x14ac:dyDescent="0.4">
      <c r="A2" s="11" t="s">
        <v>41</v>
      </c>
      <c r="B2" s="11" t="s">
        <v>64</v>
      </c>
      <c r="C2" s="11" t="s">
        <v>65</v>
      </c>
      <c r="D2" s="11" t="s">
        <v>42</v>
      </c>
      <c r="E2" s="12" t="s">
        <v>66</v>
      </c>
      <c r="F2" s="11" t="s">
        <v>60</v>
      </c>
      <c r="G2" s="11">
        <v>1</v>
      </c>
      <c r="H2" s="11" t="s">
        <v>67</v>
      </c>
    </row>
    <row r="3" spans="1:8" ht="57.5" customHeight="1" thickBot="1" x14ac:dyDescent="0.4">
      <c r="A3" s="11" t="s">
        <v>68</v>
      </c>
      <c r="B3" s="11" t="s">
        <v>69</v>
      </c>
      <c r="C3" s="11" t="s">
        <v>70</v>
      </c>
      <c r="D3" s="11" t="s">
        <v>42</v>
      </c>
      <c r="E3" s="12" t="s">
        <v>66</v>
      </c>
      <c r="F3" s="11" t="s">
        <v>60</v>
      </c>
      <c r="G3" s="11">
        <v>1</v>
      </c>
      <c r="H3" s="11" t="s">
        <v>71</v>
      </c>
    </row>
    <row r="4" spans="1:8" ht="57.5" customHeight="1" thickBot="1" x14ac:dyDescent="0.4">
      <c r="A4" s="11" t="s">
        <v>72</v>
      </c>
      <c r="B4" s="11" t="s">
        <v>73</v>
      </c>
      <c r="C4" s="11" t="s">
        <v>74</v>
      </c>
      <c r="D4" s="11" t="s">
        <v>42</v>
      </c>
      <c r="E4" s="12" t="s">
        <v>66</v>
      </c>
      <c r="F4" s="11" t="s">
        <v>60</v>
      </c>
      <c r="G4" s="11">
        <v>1</v>
      </c>
      <c r="H4" s="11" t="s">
        <v>75</v>
      </c>
    </row>
    <row r="5" spans="1:8" ht="50" customHeight="1" thickBot="1" x14ac:dyDescent="0.4">
      <c r="A5" s="11" t="s">
        <v>76</v>
      </c>
      <c r="B5" s="11" t="s">
        <v>77</v>
      </c>
      <c r="C5" s="11" t="s">
        <v>78</v>
      </c>
      <c r="D5" s="11" t="s">
        <v>42</v>
      </c>
      <c r="E5" s="12" t="s">
        <v>66</v>
      </c>
      <c r="F5" s="11" t="s">
        <v>60</v>
      </c>
      <c r="G5" s="11">
        <v>1</v>
      </c>
      <c r="H5" s="11" t="s">
        <v>79</v>
      </c>
    </row>
    <row r="6" spans="1:8" ht="54.5" customHeight="1" thickBot="1" x14ac:dyDescent="0.4">
      <c r="A6" s="11" t="s">
        <v>80</v>
      </c>
      <c r="B6" s="11" t="s">
        <v>81</v>
      </c>
      <c r="C6" s="11" t="s">
        <v>82</v>
      </c>
      <c r="D6" s="11" t="s">
        <v>42</v>
      </c>
      <c r="E6" s="12" t="s">
        <v>66</v>
      </c>
      <c r="F6" s="11" t="s">
        <v>60</v>
      </c>
      <c r="G6" s="11">
        <v>1</v>
      </c>
      <c r="H6" s="11" t="s">
        <v>83</v>
      </c>
    </row>
    <row r="7" spans="1:8" ht="60" customHeight="1" thickBot="1" x14ac:dyDescent="0.4">
      <c r="A7" s="11" t="s">
        <v>84</v>
      </c>
      <c r="B7" s="11" t="s">
        <v>85</v>
      </c>
      <c r="C7" s="11" t="s">
        <v>86</v>
      </c>
      <c r="D7" s="11" t="s">
        <v>42</v>
      </c>
      <c r="E7" s="12" t="s">
        <v>66</v>
      </c>
      <c r="F7" s="11" t="s">
        <v>60</v>
      </c>
      <c r="G7" s="11">
        <v>1</v>
      </c>
      <c r="H7" s="11" t="s">
        <v>87</v>
      </c>
    </row>
    <row r="8" spans="1:8" ht="49.5" customHeight="1" thickBot="1" x14ac:dyDescent="0.4">
      <c r="A8" s="11" t="s">
        <v>88</v>
      </c>
      <c r="B8" s="11" t="s">
        <v>89</v>
      </c>
      <c r="C8" s="11" t="s">
        <v>90</v>
      </c>
      <c r="D8" s="11" t="s">
        <v>91</v>
      </c>
      <c r="E8" s="12" t="s">
        <v>66</v>
      </c>
      <c r="F8" s="11" t="s">
        <v>60</v>
      </c>
      <c r="G8" s="11">
        <v>1</v>
      </c>
      <c r="H8" s="11" t="s">
        <v>92</v>
      </c>
    </row>
    <row r="9" spans="1:8" ht="50.5" customHeight="1" thickBot="1" x14ac:dyDescent="0.4">
      <c r="A9" s="11" t="s">
        <v>93</v>
      </c>
      <c r="B9" s="11" t="s">
        <v>94</v>
      </c>
      <c r="C9" s="11" t="s">
        <v>95</v>
      </c>
      <c r="D9" s="11" t="s">
        <v>42</v>
      </c>
      <c r="E9" s="12" t="s">
        <v>66</v>
      </c>
      <c r="F9" s="11" t="s">
        <v>60</v>
      </c>
      <c r="G9" s="11">
        <v>1</v>
      </c>
      <c r="H9" s="11" t="s">
        <v>96</v>
      </c>
    </row>
    <row r="10" spans="1:8" ht="54" customHeight="1" thickBot="1" x14ac:dyDescent="0.4">
      <c r="A10" s="11" t="s">
        <v>97</v>
      </c>
      <c r="B10" s="11" t="s">
        <v>98</v>
      </c>
      <c r="C10" s="11" t="s">
        <v>99</v>
      </c>
      <c r="D10" s="11" t="s">
        <v>42</v>
      </c>
      <c r="E10" s="12" t="s">
        <v>100</v>
      </c>
      <c r="F10" s="11" t="s">
        <v>60</v>
      </c>
      <c r="G10" s="11">
        <v>1</v>
      </c>
      <c r="H10" s="11" t="s">
        <v>101</v>
      </c>
    </row>
    <row r="11" spans="1:8" ht="56.5" customHeight="1" thickBot="1" x14ac:dyDescent="0.4">
      <c r="A11" s="11" t="s">
        <v>102</v>
      </c>
      <c r="B11" s="11" t="s">
        <v>103</v>
      </c>
      <c r="C11" s="11" t="s">
        <v>104</v>
      </c>
      <c r="D11" s="11" t="s">
        <v>91</v>
      </c>
      <c r="E11" s="12" t="s">
        <v>66</v>
      </c>
      <c r="F11" s="11" t="s">
        <v>60</v>
      </c>
      <c r="G11" s="11">
        <v>1</v>
      </c>
      <c r="H11" s="11" t="s">
        <v>105</v>
      </c>
    </row>
    <row r="12" spans="1:8" x14ac:dyDescent="0.35">
      <c r="C12" s="10"/>
    </row>
  </sheetData>
  <autoFilter ref="A1:H100" xr:uid="{00000000-0009-0000-0000-000001000000}"/>
  <dataValidations count="2">
    <dataValidation type="list" sqref="D14:E100" xr:uid="{00000000-0002-0000-0100-000000000000}">
      <formula1>"Must have,Should have,Could have,Won't have"</formula1>
    </dataValidation>
    <dataValidation type="list" sqref="F14:G100" xr:uid="{00000000-0002-0000-0100-000001000000}">
      <formula1>"Propuesto,En revisión,Validado internamente,Validado con cliente,Rechazado"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pane ySplit="1" topLeftCell="A2" activePane="bottomLeft" state="frozen"/>
      <selection pane="bottomLeft" activeCell="A2" sqref="A2:I8"/>
    </sheetView>
  </sheetViews>
  <sheetFormatPr baseColWidth="10" defaultColWidth="8.7265625" defaultRowHeight="14.5" x14ac:dyDescent="0.35"/>
  <cols>
    <col min="1" max="1" width="10" customWidth="1"/>
    <col min="2" max="2" width="15" customWidth="1"/>
    <col min="3" max="3" width="45" customWidth="1"/>
    <col min="4" max="4" width="35" customWidth="1"/>
    <col min="5" max="5" width="15" customWidth="1"/>
    <col min="6" max="7" width="20" customWidth="1"/>
    <col min="8" max="8" width="10" customWidth="1"/>
    <col min="9" max="9" width="30" customWidth="1"/>
  </cols>
  <sheetData>
    <row r="1" spans="1:9" ht="15" thickBot="1" x14ac:dyDescent="0.4">
      <c r="A1" s="8" t="s">
        <v>33</v>
      </c>
      <c r="B1" s="8" t="s">
        <v>44</v>
      </c>
      <c r="C1" s="8" t="s">
        <v>34</v>
      </c>
      <c r="D1" s="8" t="s">
        <v>35</v>
      </c>
      <c r="E1" s="8" t="s">
        <v>36</v>
      </c>
      <c r="F1" s="8" t="s">
        <v>37</v>
      </c>
      <c r="G1" s="8" t="s">
        <v>38</v>
      </c>
      <c r="H1" s="8" t="s">
        <v>39</v>
      </c>
      <c r="I1" s="8" t="s">
        <v>40</v>
      </c>
    </row>
    <row r="2" spans="1:9" ht="73" thickBot="1" x14ac:dyDescent="0.4">
      <c r="A2" s="13" t="s">
        <v>45</v>
      </c>
      <c r="B2" s="13" t="s">
        <v>46</v>
      </c>
      <c r="C2" s="13" t="s">
        <v>115</v>
      </c>
      <c r="D2" s="13" t="s">
        <v>116</v>
      </c>
      <c r="E2" s="13" t="s">
        <v>42</v>
      </c>
      <c r="F2" s="13" t="s">
        <v>66</v>
      </c>
      <c r="G2" s="13" t="s">
        <v>60</v>
      </c>
      <c r="H2" s="13">
        <v>1</v>
      </c>
      <c r="I2" s="13" t="s">
        <v>117</v>
      </c>
    </row>
    <row r="3" spans="1:9" ht="58.5" thickBot="1" x14ac:dyDescent="0.4">
      <c r="A3" s="13" t="s">
        <v>108</v>
      </c>
      <c r="B3" s="13" t="s">
        <v>107</v>
      </c>
      <c r="C3" s="13" t="s">
        <v>118</v>
      </c>
      <c r="D3" s="13" t="s">
        <v>119</v>
      </c>
      <c r="E3" s="13" t="s">
        <v>42</v>
      </c>
      <c r="F3" s="13" t="s">
        <v>106</v>
      </c>
      <c r="G3" s="13" t="s">
        <v>60</v>
      </c>
      <c r="H3" s="13">
        <v>1</v>
      </c>
      <c r="I3" s="13" t="s">
        <v>120</v>
      </c>
    </row>
    <row r="4" spans="1:9" ht="64" customHeight="1" thickBot="1" x14ac:dyDescent="0.4">
      <c r="A4" s="13" t="s">
        <v>109</v>
      </c>
      <c r="B4" s="13" t="s">
        <v>113</v>
      </c>
      <c r="C4" s="13" t="s">
        <v>121</v>
      </c>
      <c r="D4" s="13" t="s">
        <v>122</v>
      </c>
      <c r="E4" s="13" t="s">
        <v>91</v>
      </c>
      <c r="F4" s="13" t="s">
        <v>112</v>
      </c>
      <c r="G4" s="13" t="s">
        <v>60</v>
      </c>
      <c r="H4" s="13">
        <v>1</v>
      </c>
      <c r="I4" s="13" t="s">
        <v>123</v>
      </c>
    </row>
    <row r="5" spans="1:9" ht="67.5" customHeight="1" thickBot="1" x14ac:dyDescent="0.4">
      <c r="A5" s="13" t="s">
        <v>110</v>
      </c>
      <c r="B5" s="13" t="s">
        <v>124</v>
      </c>
      <c r="C5" s="13" t="s">
        <v>125</v>
      </c>
      <c r="D5" s="13" t="s">
        <v>126</v>
      </c>
      <c r="E5" s="13" t="s">
        <v>42</v>
      </c>
      <c r="F5" s="13" t="s">
        <v>66</v>
      </c>
      <c r="G5" s="13" t="s">
        <v>60</v>
      </c>
      <c r="H5" s="13">
        <v>1</v>
      </c>
      <c r="I5" s="13" t="s">
        <v>127</v>
      </c>
    </row>
    <row r="6" spans="1:9" ht="61" customHeight="1" thickBot="1" x14ac:dyDescent="0.4">
      <c r="A6" s="13" t="s">
        <v>111</v>
      </c>
      <c r="B6" s="13" t="s">
        <v>128</v>
      </c>
      <c r="C6" s="13" t="s">
        <v>129</v>
      </c>
      <c r="D6" s="13" t="s">
        <v>130</v>
      </c>
      <c r="E6" s="13" t="s">
        <v>42</v>
      </c>
      <c r="F6" s="13" t="s">
        <v>106</v>
      </c>
      <c r="G6" s="13" t="s">
        <v>60</v>
      </c>
      <c r="H6" s="13">
        <v>1</v>
      </c>
      <c r="I6" s="13" t="s">
        <v>131</v>
      </c>
    </row>
    <row r="7" spans="1:9" ht="68" customHeight="1" thickBot="1" x14ac:dyDescent="0.4">
      <c r="A7" s="13" t="s">
        <v>114</v>
      </c>
      <c r="B7" s="13" t="s">
        <v>105</v>
      </c>
      <c r="C7" s="13" t="s">
        <v>132</v>
      </c>
      <c r="D7" s="13" t="s">
        <v>133</v>
      </c>
      <c r="E7" s="13" t="s">
        <v>134</v>
      </c>
      <c r="F7" s="13" t="s">
        <v>100</v>
      </c>
      <c r="G7" s="13" t="s">
        <v>60</v>
      </c>
      <c r="H7" s="13">
        <v>1</v>
      </c>
      <c r="I7" s="13" t="s">
        <v>135</v>
      </c>
    </row>
    <row r="8" spans="1:9" ht="60.5" customHeight="1" thickBot="1" x14ac:dyDescent="0.4">
      <c r="A8" s="13" t="s">
        <v>136</v>
      </c>
      <c r="B8" s="13" t="s">
        <v>137</v>
      </c>
      <c r="C8" s="13" t="s">
        <v>138</v>
      </c>
      <c r="D8" s="13" t="s">
        <v>139</v>
      </c>
      <c r="E8" s="13" t="s">
        <v>91</v>
      </c>
      <c r="F8" s="13" t="s">
        <v>112</v>
      </c>
      <c r="G8" s="13" t="s">
        <v>60</v>
      </c>
      <c r="H8" s="13">
        <v>1</v>
      </c>
      <c r="I8" s="13" t="s">
        <v>140</v>
      </c>
    </row>
    <row r="9" spans="1:9" ht="60.5" customHeight="1" x14ac:dyDescent="0.35"/>
  </sheetData>
  <autoFilter ref="A1:I100" xr:uid="{00000000-0009-0000-0000-000002000000}"/>
  <dataValidations count="3">
    <dataValidation type="list" sqref="B11:B100" xr:uid="{00000000-0002-0000-0200-000000000000}">
      <formula1>"Usabilidad,Rendimiento,Seguridad,Confiabilidad,Portabilidad,Mantenibilidad,Disponibilidad"</formula1>
    </dataValidation>
    <dataValidation type="list" sqref="D11:D100 E11:E100" xr:uid="{00000000-0002-0000-0200-000001000000}">
      <formula1>"Must have,Should have,Could have,Won't have"</formula1>
    </dataValidation>
    <dataValidation type="list" sqref="F11:F100 G11:G100" xr:uid="{00000000-0002-0000-0200-000002000000}">
      <formula1>"Propuesto,En revisión,Validado internamente,Validado con cliente,Rechazado"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tabSelected="1" workbookViewId="0">
      <selection sqref="A1:D1"/>
    </sheetView>
  </sheetViews>
  <sheetFormatPr baseColWidth="10" defaultColWidth="8.7265625" defaultRowHeight="14.5" x14ac:dyDescent="0.35"/>
  <cols>
    <col min="1" max="1" width="40" customWidth="1"/>
    <col min="2" max="2" width="20" customWidth="1"/>
  </cols>
  <sheetData>
    <row r="1" spans="1:4" ht="21" x14ac:dyDescent="0.5">
      <c r="A1" s="5" t="s">
        <v>47</v>
      </c>
      <c r="B1" s="6"/>
      <c r="C1" s="6"/>
      <c r="D1" s="6"/>
    </row>
    <row r="3" spans="1:4" x14ac:dyDescent="0.35">
      <c r="A3" s="7" t="s">
        <v>48</v>
      </c>
      <c r="B3" s="6"/>
      <c r="C3" s="6"/>
      <c r="D3" s="6"/>
    </row>
    <row r="5" spans="1:4" x14ac:dyDescent="0.35">
      <c r="A5" s="4" t="s">
        <v>49</v>
      </c>
      <c r="B5" s="4" t="s">
        <v>50</v>
      </c>
    </row>
    <row r="6" spans="1:4" x14ac:dyDescent="0.35">
      <c r="A6" t="s">
        <v>51</v>
      </c>
      <c r="B6">
        <f>COUNTA('RF - Funcionales'!A2:A100)-COUNTBLANK('RF - Funcionales'!A2:A100)</f>
        <v>-79</v>
      </c>
    </row>
    <row r="7" spans="1:4" x14ac:dyDescent="0.35">
      <c r="A7" t="s">
        <v>52</v>
      </c>
      <c r="B7">
        <f>COUNTA('RNF - No Funcionales'!A2:A100)-COUNTBLANK('RNF - No Funcionales'!A2:A100)</f>
        <v>-85</v>
      </c>
    </row>
    <row r="8" spans="1:4" x14ac:dyDescent="0.35">
      <c r="A8" t="s">
        <v>53</v>
      </c>
      <c r="B8">
        <f>B6+B7</f>
        <v>-164</v>
      </c>
    </row>
    <row r="10" spans="1:4" x14ac:dyDescent="0.35">
      <c r="A10" s="4" t="s">
        <v>54</v>
      </c>
    </row>
    <row r="11" spans="1:4" x14ac:dyDescent="0.35">
      <c r="A11" t="s">
        <v>55</v>
      </c>
      <c r="B11">
        <f>COUNTIF('RF - Funcionales'!D:D,"Must have")+COUNTIF('RNF - No Funcionales'!E:E,"Must have")</f>
        <v>12</v>
      </c>
    </row>
    <row r="12" spans="1:4" x14ac:dyDescent="0.35">
      <c r="A12" t="s">
        <v>56</v>
      </c>
      <c r="B12">
        <f>COUNTIF('RF - Funcionales'!D:D,"Should have")+COUNTIF('RNF - No Funcionales'!E:E,"Should have")</f>
        <v>4</v>
      </c>
    </row>
    <row r="13" spans="1:4" x14ac:dyDescent="0.35">
      <c r="A13" t="s">
        <v>57</v>
      </c>
      <c r="B13">
        <f>COUNTIF('RF - Funcionales'!D:D,"Could have")+COUNTIF('RNF - No Funcionales'!E:E,"Could have")</f>
        <v>1</v>
      </c>
    </row>
    <row r="14" spans="1:4" x14ac:dyDescent="0.35">
      <c r="A14" t="s">
        <v>58</v>
      </c>
      <c r="B14">
        <f>COUNTIF('RF - Funcionales'!D:D,"Won't have")+COUNTIF('RNF - No Funcionales'!E:E,"Won't have")</f>
        <v>0</v>
      </c>
    </row>
    <row r="16" spans="1:4" x14ac:dyDescent="0.35">
      <c r="A16" s="4" t="s">
        <v>59</v>
      </c>
    </row>
    <row r="17" spans="1:2" x14ac:dyDescent="0.35">
      <c r="A17" t="s">
        <v>60</v>
      </c>
      <c r="B17">
        <f>COUNTIF('RF - Funcionales'!F:F,"Propuesto")+COUNTIF('RNF - No Funcionales'!G:G,"Propuesto")</f>
        <v>17</v>
      </c>
    </row>
    <row r="18" spans="1:2" x14ac:dyDescent="0.35">
      <c r="A18" t="s">
        <v>61</v>
      </c>
      <c r="B18">
        <f>COUNTIF('RF - Funcionales'!F:F,"En revisión")+COUNTIF('RNF - No Funcionales'!G:G,"En revisión")</f>
        <v>0</v>
      </c>
    </row>
    <row r="19" spans="1:2" x14ac:dyDescent="0.35">
      <c r="A19" t="s">
        <v>43</v>
      </c>
      <c r="B19">
        <f>COUNTIF('RF - Funcionales'!F:F,"Validado internamente")+COUNTIF('RNF - No Funcionales'!G:G,"Validado internamente")</f>
        <v>0</v>
      </c>
    </row>
    <row r="20" spans="1:2" x14ac:dyDescent="0.35">
      <c r="A20" t="s">
        <v>62</v>
      </c>
      <c r="B20">
        <f>COUNTIF('RF - Funcionales'!F:F,"Validado con cliente")+COUNTIF('RNF - No Funcionales'!G:G,"Validado con cliente")</f>
        <v>0</v>
      </c>
    </row>
    <row r="21" spans="1:2" x14ac:dyDescent="0.35">
      <c r="A21" t="s">
        <v>63</v>
      </c>
      <c r="B21">
        <f>COUNTIF('RF - Funcionales'!F:F,"Rechazado")+COUNTIF('RNF - No Funcionales'!G:G,"Rechazado")</f>
        <v>0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RF - Funcionales</vt:lpstr>
      <vt:lpstr>RNF - No Funcionales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Pamela Rosales</cp:lastModifiedBy>
  <dcterms:created xsi:type="dcterms:W3CDTF">2026-03-22T19:30:30Z</dcterms:created>
  <dcterms:modified xsi:type="dcterms:W3CDTF">2026-04-10T04:41:54Z</dcterms:modified>
</cp:coreProperties>
</file>